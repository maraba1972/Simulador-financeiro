
<file path=[Content_Types].xml><?xml version="1.0" encoding="utf-8"?>
<Types xmlns="http://schemas.openxmlformats.org/package/2006/content-types">
  <Default Extension="rels" ContentType="application/vnd.openxmlformats-package.relationships+xml"/>
  <Default Extension="xlsrvcdf" ContentType="image/jpe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9"/>
  <workbookPr/>
  <xr:revisionPtr revIDLastSave="1228" documentId="11_7F4755BF84DCCE43E268565A8931F45BFA75341E" xr6:coauthVersionLast="47" xr6:coauthVersionMax="47" xr10:uidLastSave="{7F351BB5-A053-4D2B-9894-E05FB5CACD0D}"/>
  <bookViews>
    <workbookView xWindow="240" yWindow="105" windowWidth="14805" windowHeight="8010" xr2:uid="{00000000-000D-0000-FFFF-FFFF00000000}"/>
  </bookViews>
  <sheets>
    <sheet name="simulador " sheetId="1" r:id="rId1"/>
    <sheet name="Planilha1" sheetId="2" r:id="rId2"/>
  </sheets>
  <definedNames>
    <definedName name="Aporte">'simulador '!$E$13</definedName>
    <definedName name="patrimonio">'simulador '!$I$13</definedName>
    <definedName name="QTD_anos">'simulador '!$I$10</definedName>
    <definedName name="Rendimento_carteira">'simulador '!$E$11:$E$11</definedName>
    <definedName name="salario">'simulador '!$E$10</definedName>
    <definedName name="sugestao_investimento">'simulador '!$E$12</definedName>
    <definedName name="taxa_mensal">'simulador '!$I$11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E13" i="1"/>
  <c r="I12" i="1"/>
  <c r="M12" i="1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5" i="2"/>
  <c r="A6" i="2"/>
  <c r="A7" i="2"/>
  <c r="A8" i="2"/>
  <c r="A4" i="2"/>
  <c r="J23" i="1" l="1"/>
  <c r="J24" i="1"/>
  <c r="J25" i="1"/>
  <c r="J26" i="1"/>
  <c r="J27" i="1"/>
  <c r="I13" i="1"/>
  <c r="D20" i="1"/>
  <c r="E20" i="1" s="1" a="1"/>
  <c r="E20" i="1" s="1"/>
  <c r="K19" i="1"/>
  <c r="F21" i="1"/>
  <c r="H5" i="2" s="1"/>
  <c r="F22" i="1"/>
  <c r="H6" i="2" s="1"/>
  <c r="F23" i="1"/>
  <c r="H7" i="2" s="1"/>
  <c r="F24" i="1"/>
  <c r="H8" i="2" s="1"/>
  <c r="F25" i="1"/>
  <c r="H9" i="2" s="1"/>
  <c r="F26" i="1"/>
  <c r="H10" i="2" s="1"/>
  <c r="F27" i="1"/>
  <c r="H11" i="2" s="1"/>
  <c r="F20" i="1"/>
  <c r="H4" i="2" s="1"/>
  <c r="K24" i="1"/>
  <c r="K25" i="1"/>
  <c r="K26" i="1"/>
  <c r="K27" i="1"/>
  <c r="K22" i="1"/>
  <c r="K23" i="1"/>
  <c r="D27" i="1"/>
  <c r="G11" i="2" s="1"/>
  <c r="I11" i="2" s="1"/>
  <c r="D21" i="1"/>
  <c r="G5" i="2" s="1"/>
  <c r="I5" i="2" s="1"/>
  <c r="D22" i="1"/>
  <c r="G6" i="2" s="1"/>
  <c r="I6" i="2" s="1"/>
  <c r="D23" i="1"/>
  <c r="G7" i="2" s="1"/>
  <c r="I7" i="2" s="1"/>
  <c r="D24" i="1"/>
  <c r="G8" i="2" s="1"/>
  <c r="I8" i="2" s="1"/>
  <c r="D25" i="1"/>
  <c r="G9" i="2" s="1"/>
  <c r="I9" i="2" s="1"/>
  <c r="D26" i="1"/>
  <c r="G10" i="2" s="1"/>
  <c r="I10" i="2" s="1"/>
  <c r="I14" i="1" a="1"/>
  <c r="I14" i="1" s="1"/>
  <c r="G4" i="2" l="1"/>
  <c r="I4" i="2"/>
  <c r="E26" i="1" a="1"/>
  <c r="E26" i="1" s="1"/>
  <c r="E25" i="1" a="1"/>
  <c r="E25" i="1" s="1"/>
  <c r="E24" i="1" a="1"/>
  <c r="E24" i="1" s="1"/>
  <c r="E23" i="1" a="1"/>
  <c r="E23" i="1" s="1"/>
  <c r="E22" i="1" a="1"/>
  <c r="E22" i="1" s="1"/>
  <c r="E21" i="1" a="1"/>
  <c r="E21" i="1" s="1"/>
  <c r="E27" i="1" a="1"/>
  <c r="E27" i="1" s="1"/>
  <c r="K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<sst xmlns="http://schemas.openxmlformats.org/spreadsheetml/2006/main" count="73" uniqueCount="35">
  <si>
    <t>Dados Salariais Reais</t>
  </si>
  <si>
    <t>INVESTIMENTO MENSAL</t>
  </si>
  <si>
    <t xml:space="preserve">Salário </t>
  </si>
  <si>
    <t>Quantos anos investir</t>
  </si>
  <si>
    <t>Rendimento da carteira</t>
  </si>
  <si>
    <t>Taxa de rendimento mesal</t>
  </si>
  <si>
    <t xml:space="preserve">Sugestão de investimentos </t>
  </si>
  <si>
    <t>Investimento mensal</t>
  </si>
  <si>
    <t>Aporte (valor a ser investido)</t>
  </si>
  <si>
    <t>Patrimônio acumulado</t>
  </si>
  <si>
    <t>Dividendos Mesais</t>
  </si>
  <si>
    <t xml:space="preserve">Simulações </t>
  </si>
  <si>
    <t>Perfil de investidor:</t>
  </si>
  <si>
    <t>Conservador</t>
  </si>
  <si>
    <t>Tempo de investimento (anos)</t>
  </si>
  <si>
    <t>Patrimônio</t>
  </si>
  <si>
    <t>Dividendos</t>
  </si>
  <si>
    <t>Investido</t>
  </si>
  <si>
    <t>Valor a ser investido por mês</t>
  </si>
  <si>
    <t>Tipo de FII</t>
  </si>
  <si>
    <t>% sugerida</t>
  </si>
  <si>
    <t>Valores</t>
  </si>
  <si>
    <t>Papel</t>
  </si>
  <si>
    <t>Tijolo</t>
  </si>
  <si>
    <t>híbridos</t>
  </si>
  <si>
    <t>FOFs</t>
  </si>
  <si>
    <t>Desenvolvimento</t>
  </si>
  <si>
    <t>Fiagro</t>
  </si>
  <si>
    <t>Total</t>
  </si>
  <si>
    <t>Chave composta</t>
  </si>
  <si>
    <t>Perfil</t>
  </si>
  <si>
    <t>Anos</t>
  </si>
  <si>
    <t>RSI</t>
  </si>
  <si>
    <t>Moderado</t>
  </si>
  <si>
    <t>Agressivo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</si>
</sst>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R$&quot;\ #,##0.00;[Red]\-&quot;R$&quot;\ #,##0.00"/>
    <numFmt numFmtId="164" formatCode="0.000%"/>
    <numFmt numFmtId="165" formatCode="&quot;R$&quot;\ #,##0.00"/>
    <numFmt numFmtId="166" formatCode="&quot;R$&quot;\ #,##0.000;[Red]\-&quot;R$&quot;\ #,##0.000"/>
    <numFmt numFmtId="167" formatCode="&quot;R$&quot;\ #,##0"/>
    <numFmt numFmtId="168" formatCode="0.0"/>
    <numFmt numFmtId="169" formatCode="0.0%"/>
  </numFmts>
  <fonts count="17">
    <font>
      <sz val="11"/>
      <color theme="1"/>
      <name val="Aptos Narrow"/>
      <family val="2"/>
      <scheme val="minor"/>
    </font>
    <font>
      <sz val="16"/>
      <color theme="0"/>
      <name val="Comic Sans MS"/>
    </font>
    <font>
      <sz val="14"/>
      <color theme="1"/>
      <name val="Gill Sans MT"/>
    </font>
    <font>
      <sz val="11"/>
      <color rgb="FFC00000"/>
      <name val="Aptos Narrow"/>
      <family val="2"/>
      <scheme val="minor"/>
    </font>
    <font>
      <sz val="16"/>
      <color theme="1"/>
      <name val="Comic Sans MS"/>
    </font>
    <font>
      <sz val="12"/>
      <color theme="1"/>
      <name val="Comic Sans MS"/>
    </font>
    <font>
      <sz val="24"/>
      <color theme="0"/>
      <name val="Comic Sans MS"/>
    </font>
    <font>
      <sz val="11"/>
      <color theme="1"/>
      <name val="Aptos Narrow"/>
      <family val="2"/>
      <scheme val="minor"/>
    </font>
    <font>
      <sz val="14"/>
      <color theme="1"/>
      <name val="Comic Sans MS"/>
    </font>
    <font>
      <sz val="20"/>
      <color theme="1"/>
      <name val="Comic Sans MS"/>
    </font>
    <font>
      <b/>
      <sz val="12"/>
      <color theme="1"/>
      <name val="Comic Sans MS"/>
    </font>
    <font>
      <b/>
      <sz val="12"/>
      <color theme="1"/>
      <name val="Aptos Narrow"/>
      <family val="2"/>
      <scheme val="minor"/>
    </font>
    <font>
      <sz val="11"/>
      <color rgb="FF002060"/>
      <name val="Comic Sans MS"/>
    </font>
    <font>
      <sz val="12"/>
      <color theme="0"/>
      <name val="Comic Sans MS"/>
    </font>
    <font>
      <sz val="14"/>
      <color rgb="FF002060"/>
      <name val="Gill Sans MT"/>
    </font>
    <font>
      <b/>
      <sz val="14"/>
      <color theme="1"/>
      <name val="Comic Sans MS"/>
    </font>
    <font>
      <sz val="14"/>
      <color rgb="FFC00000"/>
      <name val="Comic Sans MS"/>
    </font>
  </fonts>
  <fills count="1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31">
    <border>
      <left/>
      <right/>
      <top/>
      <bottom/>
      <diagonal/>
    </border>
    <border>
      <left style="medium">
        <color theme="9" tint="-0.499984740745262"/>
      </left>
      <right/>
      <top style="medium">
        <color theme="9" tint="-0.499984740745262"/>
      </top>
      <bottom/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medium">
        <color theme="9" tint="-0.499984740745262"/>
      </left>
      <right/>
      <top/>
      <bottom style="medium">
        <color theme="9" tint="-0.499984740745262"/>
      </bottom>
      <diagonal/>
    </border>
    <border>
      <left/>
      <right/>
      <top/>
      <bottom style="medium">
        <color theme="9" tint="-0.499984740745262"/>
      </bottom>
      <diagonal/>
    </border>
    <border>
      <left/>
      <right style="medium">
        <color theme="9" tint="-0.499984740745262"/>
      </right>
      <top/>
      <bottom style="medium">
        <color theme="9" tint="-0.499984740745262"/>
      </bottom>
      <diagonal/>
    </border>
    <border>
      <left style="medium">
        <color theme="9" tint="-0.499984740745262"/>
      </left>
      <right/>
      <top style="medium">
        <color theme="9" tint="-0.499984740745262"/>
      </top>
      <bottom style="thin">
        <color theme="9" tint="-0.249977111117893"/>
      </bottom>
      <diagonal/>
    </border>
    <border>
      <left/>
      <right/>
      <top style="medium">
        <color theme="9" tint="-0.499984740745262"/>
      </top>
      <bottom style="thin">
        <color theme="9" tint="-0.249977111117893"/>
      </bottom>
      <diagonal/>
    </border>
    <border>
      <left/>
      <right style="medium">
        <color theme="9" tint="-0.499984740745262"/>
      </right>
      <top style="medium">
        <color theme="9" tint="-0.499984740745262"/>
      </top>
      <bottom style="thin">
        <color theme="9" tint="-0.249977111117893"/>
      </bottom>
      <diagonal/>
    </border>
    <border>
      <left style="medium">
        <color theme="9" tint="-0.499984740745262"/>
      </left>
      <right/>
      <top style="thin">
        <color theme="9" tint="-0.249977111117893"/>
      </top>
      <bottom style="thin">
        <color theme="9" tint="-0.249977111117893"/>
      </bottom>
      <diagonal/>
    </border>
    <border>
      <left/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theme="9" tint="-0.499984740745262"/>
      </left>
      <right/>
      <top style="thin">
        <color theme="9" tint="-0.249977111117893"/>
      </top>
      <bottom style="medium">
        <color theme="9" tint="-0.499984740745262"/>
      </bottom>
      <diagonal/>
    </border>
    <border>
      <left/>
      <right style="thin">
        <color theme="9" tint="-0.249977111117893"/>
      </right>
      <top style="thin">
        <color theme="9" tint="-0.249977111117893"/>
      </top>
      <bottom style="medium">
        <color theme="9" tint="-0.499984740745262"/>
      </bottom>
      <diagonal/>
    </border>
    <border>
      <left style="thin">
        <color theme="9" tint="-0.249977111117893"/>
      </left>
      <right/>
      <top style="thin">
        <color theme="9" tint="-0.249977111117893"/>
      </top>
      <bottom style="thin">
        <color theme="9" tint="-0.249977111117893"/>
      </bottom>
      <diagonal/>
    </border>
    <border>
      <left/>
      <right style="medium">
        <color theme="9" tint="-0.499984740745262"/>
      </right>
      <top style="thin">
        <color theme="9" tint="-0.249977111117893"/>
      </top>
      <bottom style="thin">
        <color theme="9" tint="-0.249977111117893"/>
      </bottom>
      <diagonal/>
    </border>
    <border>
      <left style="thin">
        <color theme="9" tint="-0.249977111117893"/>
      </left>
      <right/>
      <top style="thin">
        <color theme="9" tint="-0.249977111117893"/>
      </top>
      <bottom style="medium">
        <color theme="9" tint="-0.499984740745262"/>
      </bottom>
      <diagonal/>
    </border>
    <border>
      <left/>
      <right style="medium">
        <color theme="9" tint="-0.499984740745262"/>
      </right>
      <top style="thin">
        <color theme="9" tint="-0.249977111117893"/>
      </top>
      <bottom style="medium">
        <color theme="9" tint="-0.499984740745262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medium">
        <color theme="9" tint="-0.499984740745262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theme="9" tint="-0.499984740745262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medium">
        <color theme="9" tint="-0.499984740745262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medium">
        <color theme="9" tint="-0.499984740745262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theme="9" tint="-0.499984740745262"/>
      </left>
      <right style="thin">
        <color theme="9" tint="-0.249977111117893"/>
      </right>
      <top style="thin">
        <color theme="9" tint="-0.249977111117893"/>
      </top>
      <bottom style="medium">
        <color theme="9" tint="-0.499984740745262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theme="9" tint="-0.499984740745262"/>
      </bottom>
      <diagonal/>
    </border>
    <border>
      <left style="thin">
        <color theme="9" tint="-0.249977111117893"/>
      </left>
      <right style="medium">
        <color theme="9" tint="-0.499984740745262"/>
      </right>
      <top style="thin">
        <color theme="9" tint="-0.249977111117893"/>
      </top>
      <bottom style="medium">
        <color theme="9" tint="-0.499984740745262"/>
      </bottom>
      <diagonal/>
    </border>
  </borders>
  <cellStyleXfs count="2">
    <xf numFmtId="0" fontId="0" fillId="0" borderId="0"/>
    <xf numFmtId="0" fontId="7" fillId="7" borderId="4" applyNumberFormat="0" applyFont="0" applyAlignment="0" applyProtection="0"/>
  </cellStyleXfs>
  <cellXfs count="91">
    <xf numFmtId="0" fontId="0" fillId="0" borderId="0" xfId="0"/>
    <xf numFmtId="0" fontId="0" fillId="2" borderId="0" xfId="0" applyFill="1"/>
    <xf numFmtId="0" fontId="3" fillId="5" borderId="0" xfId="0" applyFont="1" applyFill="1"/>
    <xf numFmtId="0" fontId="0" fillId="0" borderId="0" xfId="0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0" fillId="0" borderId="6" xfId="0" applyBorder="1"/>
    <xf numFmtId="8" fontId="12" fillId="6" borderId="0" xfId="0" applyNumberFormat="1" applyFont="1" applyFill="1" applyBorder="1" applyAlignment="1">
      <alignment horizontal="center" vertical="center" wrapText="1"/>
    </xf>
    <xf numFmtId="8" fontId="12" fillId="6" borderId="8" xfId="0" applyNumberFormat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8" fillId="0" borderId="0" xfId="0" applyFont="1" applyBorder="1" applyAlignment="1">
      <alignment horizontal="center"/>
    </xf>
    <xf numFmtId="8" fontId="12" fillId="6" borderId="0" xfId="0" applyNumberFormat="1" applyFont="1" applyFill="1" applyBorder="1" applyAlignment="1">
      <alignment horizontal="center" vertical="center"/>
    </xf>
    <xf numFmtId="0" fontId="14" fillId="0" borderId="0" xfId="0" applyFont="1" applyBorder="1" applyAlignment="1">
      <alignment horizontal="left" vertical="center" wrapText="1"/>
    </xf>
    <xf numFmtId="0" fontId="13" fillId="3" borderId="0" xfId="0" applyFont="1" applyFill="1" applyBorder="1" applyAlignment="1">
      <alignment horizontal="center" vertical="center" wrapText="1"/>
    </xf>
    <xf numFmtId="0" fontId="13" fillId="3" borderId="0" xfId="0" applyFont="1" applyFill="1" applyBorder="1" applyAlignment="1">
      <alignment horizontal="center" vertical="center"/>
    </xf>
    <xf numFmtId="0" fontId="0" fillId="0" borderId="0" xfId="0" applyFill="1"/>
    <xf numFmtId="10" fontId="5" fillId="5" borderId="27" xfId="0" applyNumberFormat="1" applyFont="1" applyFill="1" applyBorder="1" applyAlignment="1">
      <alignment horizontal="center" vertical="center"/>
    </xf>
    <xf numFmtId="9" fontId="5" fillId="0" borderId="27" xfId="0" applyNumberFormat="1" applyFont="1" applyFill="1" applyBorder="1" applyAlignment="1">
      <alignment horizontal="center" vertical="center"/>
    </xf>
    <xf numFmtId="165" fontId="5" fillId="6" borderId="30" xfId="0" applyNumberFormat="1" applyFont="1" applyFill="1" applyBorder="1" applyAlignment="1">
      <alignment horizontal="center"/>
    </xf>
    <xf numFmtId="0" fontId="13" fillId="3" borderId="6" xfId="0" applyFont="1" applyFill="1" applyBorder="1" applyAlignment="1">
      <alignment horizontal="center"/>
    </xf>
    <xf numFmtId="167" fontId="12" fillId="6" borderId="6" xfId="0" applyNumberFormat="1" applyFont="1" applyFill="1" applyBorder="1" applyAlignment="1">
      <alignment horizontal="center"/>
    </xf>
    <xf numFmtId="8" fontId="12" fillId="6" borderId="8" xfId="0" applyNumberFormat="1" applyFont="1" applyFill="1" applyBorder="1" applyAlignment="1">
      <alignment horizontal="center" vertical="center"/>
    </xf>
    <xf numFmtId="167" fontId="12" fillId="6" borderId="9" xfId="0" applyNumberFormat="1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15" fillId="4" borderId="13" xfId="0" applyFont="1" applyFill="1" applyBorder="1" applyAlignment="1">
      <alignment horizontal="center" vertical="center"/>
    </xf>
    <xf numFmtId="0" fontId="15" fillId="4" borderId="14" xfId="0" applyFont="1" applyFill="1" applyBorder="1" applyAlignment="1">
      <alignment horizontal="center" vertical="center"/>
    </xf>
    <xf numFmtId="165" fontId="2" fillId="0" borderId="21" xfId="0" applyNumberFormat="1" applyFont="1" applyBorder="1" applyAlignment="1">
      <alignment horizontal="center" vertical="center"/>
    </xf>
    <xf numFmtId="165" fontId="2" fillId="0" borderId="18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8" fillId="0" borderId="0" xfId="0" applyFont="1" applyBorder="1" applyAlignment="1">
      <alignment horizontal="center"/>
    </xf>
    <xf numFmtId="0" fontId="8" fillId="0" borderId="22" xfId="0" applyFont="1" applyFill="1" applyBorder="1" applyAlignment="1">
      <alignment horizontal="left" vertical="center"/>
    </xf>
    <xf numFmtId="0" fontId="8" fillId="0" borderId="23" xfId="0" applyFont="1" applyFill="1" applyBorder="1" applyAlignment="1">
      <alignment horizontal="left" vertical="center"/>
    </xf>
    <xf numFmtId="164" fontId="8" fillId="0" borderId="17" xfId="0" applyNumberFormat="1" applyFont="1" applyBorder="1" applyAlignment="1">
      <alignment horizontal="center" vertical="center"/>
    </xf>
    <xf numFmtId="164" fontId="8" fillId="0" borderId="18" xfId="0" applyNumberFormat="1" applyFont="1" applyBorder="1" applyAlignment="1">
      <alignment horizontal="center" vertical="center"/>
    </xf>
    <xf numFmtId="8" fontId="16" fillId="4" borderId="17" xfId="0" applyNumberFormat="1" applyFont="1" applyFill="1" applyBorder="1" applyAlignment="1">
      <alignment horizontal="center" vertical="center" wrapText="1"/>
    </xf>
    <xf numFmtId="8" fontId="16" fillId="4" borderId="18" xfId="0" applyNumberFormat="1" applyFont="1" applyFill="1" applyBorder="1" applyAlignment="1">
      <alignment horizontal="center" vertical="center" wrapText="1"/>
    </xf>
    <xf numFmtId="166" fontId="16" fillId="4" borderId="19" xfId="0" applyNumberFormat="1" applyFont="1" applyFill="1" applyBorder="1" applyAlignment="1">
      <alignment horizontal="center" vertical="center"/>
    </xf>
    <xf numFmtId="166" fontId="16" fillId="4" borderId="20" xfId="0" applyNumberFormat="1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 wrapText="1"/>
    </xf>
    <xf numFmtId="0" fontId="15" fillId="4" borderId="16" xfId="0" applyFont="1" applyFill="1" applyBorder="1" applyAlignment="1">
      <alignment horizontal="center" vertical="center" wrapText="1"/>
    </xf>
    <xf numFmtId="0" fontId="8" fillId="6" borderId="28" xfId="0" applyFont="1" applyFill="1" applyBorder="1" applyAlignment="1">
      <alignment horizontal="left"/>
    </xf>
    <xf numFmtId="0" fontId="8" fillId="6" borderId="29" xfId="0" applyFont="1" applyFill="1" applyBorder="1" applyAlignment="1">
      <alignment horizontal="left"/>
    </xf>
    <xf numFmtId="0" fontId="13" fillId="3" borderId="5" xfId="0" applyFont="1" applyFill="1" applyBorder="1" applyAlignment="1">
      <alignment horizontal="center" vertical="center" wrapText="1"/>
    </xf>
    <xf numFmtId="0" fontId="13" fillId="3" borderId="0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6" borderId="0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0" fontId="8" fillId="0" borderId="24" xfId="0" applyFont="1" applyFill="1" applyBorder="1" applyAlignment="1">
      <alignment horizontal="left" vertical="center"/>
    </xf>
    <xf numFmtId="0" fontId="8" fillId="0" borderId="25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 vertical="center" wrapText="1"/>
    </xf>
    <xf numFmtId="0" fontId="8" fillId="4" borderId="23" xfId="0" applyFont="1" applyFill="1" applyBorder="1" applyAlignment="1">
      <alignment horizontal="center" vertical="center" wrapText="1"/>
    </xf>
    <xf numFmtId="165" fontId="8" fillId="4" borderId="17" xfId="0" applyNumberFormat="1" applyFont="1" applyFill="1" applyBorder="1" applyAlignment="1">
      <alignment horizontal="center" vertical="center"/>
    </xf>
    <xf numFmtId="0" fontId="8" fillId="4" borderId="18" xfId="0" applyFont="1" applyFill="1" applyBorder="1" applyAlignment="1">
      <alignment horizontal="center" vertical="center"/>
    </xf>
    <xf numFmtId="1" fontId="8" fillId="0" borderId="17" xfId="0" applyNumberFormat="1" applyFont="1" applyBorder="1" applyAlignment="1">
      <alignment horizontal="center" vertical="center"/>
    </xf>
    <xf numFmtId="1" fontId="8" fillId="0" borderId="18" xfId="0" applyNumberFormat="1" applyFont="1" applyBorder="1" applyAlignment="1">
      <alignment horizontal="center" vertical="center"/>
    </xf>
    <xf numFmtId="0" fontId="8" fillId="5" borderId="22" xfId="0" applyFont="1" applyFill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165" fontId="11" fillId="10" borderId="8" xfId="0" applyNumberFormat="1" applyFont="1" applyFill="1" applyBorder="1" applyAlignment="1">
      <alignment horizontal="center" vertical="center"/>
    </xf>
    <xf numFmtId="0" fontId="11" fillId="10" borderId="9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4" fillId="7" borderId="1" xfId="1" applyFont="1" applyBorder="1" applyAlignment="1">
      <alignment horizontal="center" vertical="center"/>
    </xf>
    <xf numFmtId="0" fontId="4" fillId="7" borderId="2" xfId="1" applyFont="1" applyBorder="1" applyAlignment="1">
      <alignment horizontal="center" vertical="center"/>
    </xf>
    <xf numFmtId="165" fontId="5" fillId="0" borderId="0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4" fillId="7" borderId="3" xfId="1" applyFont="1" applyBorder="1" applyAlignment="1">
      <alignment horizontal="center" vertical="center"/>
    </xf>
    <xf numFmtId="165" fontId="8" fillId="6" borderId="0" xfId="0" applyNumberFormat="1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10" borderId="7" xfId="0" applyFont="1" applyFill="1" applyBorder="1" applyAlignment="1">
      <alignment horizontal="center"/>
    </xf>
    <xf numFmtId="0" fontId="10" fillId="10" borderId="8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/>
    </xf>
    <xf numFmtId="0" fontId="8" fillId="6" borderId="0" xfId="0" applyFont="1" applyFill="1" applyBorder="1" applyAlignment="1">
      <alignment horizontal="center" vertical="center"/>
    </xf>
    <xf numFmtId="169" fontId="5" fillId="0" borderId="0" xfId="0" applyNumberFormat="1" applyFont="1" applyBorder="1" applyAlignment="1">
      <alignment horizontal="center"/>
    </xf>
    <xf numFmtId="169" fontId="5" fillId="0" borderId="8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5" fillId="0" borderId="0" xfId="0" applyNumberFormat="1" applyFont="1" applyBorder="1" applyAlignment="1">
      <alignment horizontal="center" vertical="center"/>
    </xf>
    <xf numFmtId="165" fontId="5" fillId="9" borderId="26" xfId="0" applyNumberFormat="1" applyFont="1" applyFill="1" applyBorder="1" applyAlignment="1">
      <alignment horizontal="center" vertical="center"/>
    </xf>
  </cellXfs>
  <cellStyles count="2">
    <cellStyle name="Normal" xfId="0" builtinId="0"/>
    <cellStyle name="Nota" xfId="1" builtinId="1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'simulador '!$I$21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4B6-4BC6-8971-68D2253B7387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4B6-4BC6-8971-68D2253B7387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4B6-4BC6-8971-68D2253B7387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4B6-4BC6-8971-68D2253B7387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4B6-4BC6-8971-68D2253B7387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4B6-4BC6-8971-68D2253B738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'simulador '!$H$22:$H$27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Fiagro</c:v>
                </c:pt>
              </c:strCache>
            </c:strRef>
          </c:cat>
          <c:val>
            <c:numRef>
              <c:f>'simulador '!J22:J27</c:f>
              <c:numCache>
                <c:formatCode>0.0%</c:formatCode>
                <c:ptCount val="6"/>
                <c:pt idx="0">
                  <c:v>0.35</c:v>
                </c:pt>
                <c:pt idx="1">
                  <c:v>0.5</c:v>
                </c:pt>
                <c:pt idx="2">
                  <c:v>7.4999999999999997E-2</c:v>
                </c:pt>
                <c:pt idx="3">
                  <c:v>7.4999999999999997E-2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0B-4BF5-8DFF-C62F3C2067B7}"/>
            </c:ext>
          </c:extLst>
        </c:ser>
        <c:ser>
          <c:idx val="1"/>
          <c:order val="1"/>
          <c:tx>
            <c:strRef>
              <c:f>'simulador '!$J$21</c:f>
              <c:strCache>
                <c:ptCount val="1"/>
                <c:pt idx="0">
                  <c:v>% sugerida</c:v>
                </c:pt>
              </c:strCache>
            </c:strRef>
          </c:tx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4B6-4BC6-8971-68D2253B7387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4B6-4BC6-8971-68D2253B7387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4B6-4BC6-8971-68D2253B7387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4B6-4BC6-8971-68D2253B7387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4B6-4BC6-8971-68D2253B7387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B4B6-4BC6-8971-68D2253B738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'simulador '!$H$22:$H$27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Fiagro</c:v>
                </c:pt>
              </c:strCache>
            </c:strRef>
          </c:cat>
          <c:val>
            <c:numRef>
              <c:f>'simulador '!$J$22:$J$27</c:f>
              <c:numCache>
                <c:formatCode>0.0%</c:formatCode>
                <c:ptCount val="6"/>
                <c:pt idx="0">
                  <c:v>0.35</c:v>
                </c:pt>
                <c:pt idx="1">
                  <c:v>0.5</c:v>
                </c:pt>
                <c:pt idx="2">
                  <c:v>7.4999999999999997E-2</c:v>
                </c:pt>
                <c:pt idx="3">
                  <c:v>7.4999999999999997E-2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0B-4BF5-8DFF-C62F3C2067B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Retorno sobre o investimento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/>
              <a:ea typeface="Arial"/>
              <a:cs typeface="Arial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Planilha1!$I$3</c:f>
              <c:strCache>
                <c:ptCount val="1"/>
                <c:pt idx="0">
                  <c:v>RSI</c:v>
                </c:pt>
              </c:strCache>
            </c:strRef>
          </c:tx>
          <c:spPr>
            <a:solidFill>
              <a:srgbClr val="7030A0"/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 Black"/>
                    <a:ea typeface="Arial Black"/>
                    <a:cs typeface="Arial Black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Planilha1!F4:F11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cat>
          <c:val>
            <c:numRef>
              <c:f>Planilha1!$I$4:$I$11</c:f>
              <c:numCache>
                <c:formatCode>0.0</c:formatCode>
                <c:ptCount val="8"/>
                <c:pt idx="0">
                  <c:v>1.1344844707352173</c:v>
                </c:pt>
                <c:pt idx="1">
                  <c:v>1.3962818999747939</c:v>
                </c:pt>
                <c:pt idx="2">
                  <c:v>2.0273684377514347</c:v>
                </c:pt>
                <c:pt idx="3">
                  <c:v>3.0387699803706716</c:v>
                </c:pt>
                <c:pt idx="4">
                  <c:v>4.688326667071169</c:v>
                </c:pt>
                <c:pt idx="5">
                  <c:v>7.4203389107941078</c:v>
                </c:pt>
                <c:pt idx="6">
                  <c:v>12.006026819457539</c:v>
                </c:pt>
                <c:pt idx="7">
                  <c:v>19.792819932785363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DBF-4254-B11A-7A37E4096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"/>
        <c:overlap val="-27"/>
        <c:axId val="712727559"/>
        <c:axId val="712730119"/>
      </c:barChart>
      <c:catAx>
        <c:axId val="7127275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Anos de investimento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/>
                  <a:ea typeface="Arial"/>
                  <a:cs typeface="Arial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12730119"/>
        <c:crosses val="autoZero"/>
        <c:auto val="1"/>
        <c:lblAlgn val="ctr"/>
        <c:lblOffset val="100"/>
        <c:noMultiLvlLbl val="0"/>
      </c:catAx>
      <c:valAx>
        <c:axId val="712730119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712727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xlsrvcd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76200</xdr:rowOff>
    </xdr:from>
    <xdr:to>
      <xdr:col>1</xdr:col>
      <xdr:colOff>590550</xdr:colOff>
      <xdr:row>6</xdr:row>
      <xdr:rowOff>161925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80F3CEA0-77F1-DBDB-0729-967387589993}"/>
            </a:ext>
            <a:ext uri="{147F2762-F138-4A5C-976F-8EAC2B608ADB}">
              <a16:predDERef xmlns:a16="http://schemas.microsoft.com/office/drawing/2014/main" pred="{72A13171-09AA-4C1C-D658-EFD068762F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775" y="76200"/>
          <a:ext cx="1228725" cy="1228725"/>
        </a:xfrm>
        <a:prstGeom prst="rect">
          <a:avLst/>
        </a:prstGeom>
      </xdr:spPr>
    </xdr:pic>
    <xdr:clientData/>
  </xdr:twoCellAnchor>
  <xdr:twoCellAnchor>
    <xdr:from>
      <xdr:col>6</xdr:col>
      <xdr:colOff>828675</xdr:colOff>
      <xdr:row>28</xdr:row>
      <xdr:rowOff>38100</xdr:rowOff>
    </xdr:from>
    <xdr:to>
      <xdr:col>12</xdr:col>
      <xdr:colOff>0</xdr:colOff>
      <xdr:row>47</xdr:row>
      <xdr:rowOff>95250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ED2BC4D8-F02A-E303-78EB-6D6940B39E11}"/>
            </a:ext>
            <a:ext uri="{147F2762-F138-4A5C-976F-8EAC2B608ADB}">
              <a16:predDERef xmlns:a16="http://schemas.microsoft.com/office/drawing/2014/main" pred="{80F3CEA0-77F1-DBDB-0729-9673875899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600075</xdr:colOff>
      <xdr:row>0</xdr:row>
      <xdr:rowOff>0</xdr:rowOff>
    </xdr:from>
    <xdr:to>
      <xdr:col>11</xdr:col>
      <xdr:colOff>1400175</xdr:colOff>
      <xdr:row>5</xdr:row>
      <xdr:rowOff>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0780F0D-48E1-A791-7BBE-DDAE2F5FACCB}"/>
            </a:ext>
            <a:ext uri="{147F2762-F138-4A5C-976F-8EAC2B608ADB}">
              <a16:predDERef xmlns:a16="http://schemas.microsoft.com/office/drawing/2014/main" pred="{ED2BC4D8-F02A-E303-78EB-6D6940B39E11}"/>
            </a:ext>
          </a:extLst>
        </xdr:cNvPr>
        <xdr:cNvSpPr txBox="1"/>
      </xdr:nvSpPr>
      <xdr:spPr>
        <a:xfrm>
          <a:off x="1343025" y="0"/>
          <a:ext cx="12925425" cy="9525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3600" u="none" strike="noStrike">
              <a:solidFill>
                <a:srgbClr val="000000"/>
              </a:solidFill>
              <a:latin typeface="Bookman Old Style" panose="02050604050505020204" pitchFamily="18" charset="0"/>
            </a:rPr>
            <a:t>Simulador de investimentos em fundos imobilários </a:t>
          </a:r>
        </a:p>
      </xdr:txBody>
    </xdr:sp>
    <xdr:clientData/>
  </xdr:twoCellAnchor>
  <xdr:twoCellAnchor>
    <xdr:from>
      <xdr:col>1</xdr:col>
      <xdr:colOff>628650</xdr:colOff>
      <xdr:row>4</xdr:row>
      <xdr:rowOff>104775</xdr:rowOff>
    </xdr:from>
    <xdr:to>
      <xdr:col>11</xdr:col>
      <xdr:colOff>1314450</xdr:colOff>
      <xdr:row>6</xdr:row>
      <xdr:rowOff>123825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7BC6628-92AE-B996-58B5-769E5024B865}"/>
            </a:ext>
            <a:ext uri="{147F2762-F138-4A5C-976F-8EAC2B608ADB}">
              <a16:predDERef xmlns:a16="http://schemas.microsoft.com/office/drawing/2014/main" pred="{20780F0D-48E1-A791-7BBE-DDAE2F5FACCB}"/>
            </a:ext>
          </a:extLst>
        </xdr:cNvPr>
        <xdr:cNvSpPr txBox="1"/>
      </xdr:nvSpPr>
      <xdr:spPr>
        <a:xfrm>
          <a:off x="1371600" y="866775"/>
          <a:ext cx="12811125" cy="4000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2000" u="none" strike="noStrike">
              <a:solidFill>
                <a:srgbClr val="000000"/>
              </a:solidFill>
              <a:latin typeface="Bookman Old Style" panose="02050604050505020204" pitchFamily="18" charset="0"/>
            </a:rPr>
            <a:t>Por Mauro Alexandre Marabesi</a:t>
          </a:r>
        </a:p>
      </xdr:txBody>
    </xdr:sp>
    <xdr:clientData/>
  </xdr:twoCellAnchor>
  <xdr:twoCellAnchor>
    <xdr:from>
      <xdr:col>0</xdr:col>
      <xdr:colOff>704850</xdr:colOff>
      <xdr:row>27</xdr:row>
      <xdr:rowOff>152400</xdr:rowOff>
    </xdr:from>
    <xdr:to>
      <xdr:col>5</xdr:col>
      <xdr:colOff>1228725</xdr:colOff>
      <xdr:row>47</xdr:row>
      <xdr:rowOff>133350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F22B73A2-A605-B751-4156-5ECF7E307060}"/>
            </a:ext>
            <a:ext uri="{147F2762-F138-4A5C-976F-8EAC2B608ADB}">
              <a16:predDERef xmlns:a16="http://schemas.microsoft.com/office/drawing/2014/main" pred="{67BC6628-92AE-B996-58B5-769E5024B8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8"/>
  <sheetViews>
    <sheetView showGridLines="0" showRowColHeaders="0" tabSelected="1" workbookViewId="0">
      <selection activeCell="K11" sqref="K11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5"/>
  <cols>
    <col min="1" max="1" width="11.140625" customWidth="1"/>
    <col min="2" max="2" width="15.28515625" customWidth="1"/>
    <col min="3" max="3" width="18.7109375" customWidth="1"/>
    <col min="4" max="4" width="21.140625" customWidth="1"/>
    <col min="5" max="5" width="18.7109375" customWidth="1"/>
    <col min="6" max="6" width="18.85546875" customWidth="1"/>
    <col min="7" max="7" width="15.7109375" customWidth="1"/>
    <col min="8" max="8" width="19.42578125" customWidth="1"/>
    <col min="9" max="9" width="13.85546875" customWidth="1"/>
    <col min="10" max="10" width="15.28515625" customWidth="1"/>
    <col min="11" max="11" width="24.85546875" customWidth="1"/>
    <col min="12" max="12" width="21.28515625" customWidth="1"/>
    <col min="13" max="13" width="10.85546875" hidden="1" customWidth="1"/>
    <col min="14" max="14" width="29.140625" hidden="1" customWidth="1"/>
    <col min="15" max="15" width="16" hidden="1" customWidth="1"/>
    <col min="16" max="16" width="9.140625" hidden="1" customWidth="1"/>
    <col min="17" max="17" width="17.140625" hidden="1" customWidth="1"/>
    <col min="18" max="25" width="9.140625" hidden="1" customWidth="1"/>
    <col min="26" max="43" width="0" hidden="1" customWidth="1"/>
  </cols>
  <sheetData>
    <row r="1" spans="2:14" s="1" customFormat="1"/>
    <row r="2" spans="2:14" s="1" customFormat="1"/>
    <row r="3" spans="2:14" s="1" customFormat="1"/>
    <row r="4" spans="2:14" s="1" customFormat="1"/>
    <row r="5" spans="2:14" s="1" customFormat="1"/>
    <row r="6" spans="2:14" s="1" customFormat="1"/>
    <row r="7" spans="2:14" s="1" customFormat="1"/>
    <row r="8" spans="2:14" s="18" customFormat="1"/>
    <row r="9" spans="2:14" ht="48.75" customHeight="1">
      <c r="B9" s="51" t="s">
        <v>0</v>
      </c>
      <c r="C9" s="52"/>
      <c r="D9" s="52"/>
      <c r="E9" s="53"/>
      <c r="G9" s="56" t="s">
        <v>1</v>
      </c>
      <c r="H9" s="57"/>
      <c r="I9" s="57"/>
      <c r="J9" s="58"/>
      <c r="K9" s="4"/>
      <c r="L9" s="4"/>
    </row>
    <row r="10" spans="2:14" ht="21">
      <c r="B10" s="54" t="s">
        <v>2</v>
      </c>
      <c r="C10" s="55"/>
      <c r="D10" s="55"/>
      <c r="E10" s="90">
        <v>6000</v>
      </c>
      <c r="G10" s="27" t="s">
        <v>3</v>
      </c>
      <c r="H10" s="28"/>
      <c r="I10" s="63">
        <v>1</v>
      </c>
      <c r="J10" s="64"/>
      <c r="K10" s="4"/>
      <c r="L10" s="4"/>
    </row>
    <row r="11" spans="2:14" ht="21">
      <c r="B11" s="65" t="s">
        <v>4</v>
      </c>
      <c r="C11" s="66"/>
      <c r="D11" s="66"/>
      <c r="E11" s="19">
        <v>8.8999999999999999E-3</v>
      </c>
      <c r="G11" s="27" t="s">
        <v>5</v>
      </c>
      <c r="H11" s="28"/>
      <c r="I11" s="37">
        <v>1.0789999999999999E-2</v>
      </c>
      <c r="J11" s="38"/>
      <c r="K11" s="4"/>
      <c r="L11" s="4"/>
    </row>
    <row r="12" spans="2:14" ht="21.75">
      <c r="B12" s="35" t="s">
        <v>6</v>
      </c>
      <c r="C12" s="36"/>
      <c r="D12" s="36"/>
      <c r="E12" s="20">
        <v>0.1</v>
      </c>
      <c r="G12" s="59" t="s">
        <v>7</v>
      </c>
      <c r="H12" s="60"/>
      <c r="I12" s="61">
        <f>$E$13</f>
        <v>600</v>
      </c>
      <c r="J12" s="62"/>
      <c r="K12" s="15"/>
      <c r="L12" s="15"/>
      <c r="M12" s="31">
        <f>$E$13</f>
        <v>600</v>
      </c>
      <c r="N12" s="32"/>
    </row>
    <row r="13" spans="2:14" ht="22.5">
      <c r="B13" s="45" t="s">
        <v>8</v>
      </c>
      <c r="C13" s="46"/>
      <c r="D13" s="46"/>
      <c r="E13" s="21">
        <f>$E$12*$E$10</f>
        <v>600</v>
      </c>
      <c r="G13" s="29" t="s">
        <v>9</v>
      </c>
      <c r="H13" s="30"/>
      <c r="I13" s="39">
        <f>FV(taxa_mensal,QTD_anos*12,Aporte*-1)</f>
        <v>7643.0316003339358</v>
      </c>
      <c r="J13" s="40"/>
      <c r="K13" s="4"/>
      <c r="L13" s="4"/>
    </row>
    <row r="14" spans="2:14" ht="22.5">
      <c r="G14" s="43" t="s">
        <v>10</v>
      </c>
      <c r="H14" s="44"/>
      <c r="I14" s="41" cm="1">
        <f t="array" ref="I14">patrimonio*Rendimento_carteira</f>
        <v>68.022981242972023</v>
      </c>
      <c r="J14" s="42"/>
      <c r="K14" s="4"/>
      <c r="L14" s="4"/>
    </row>
    <row r="15" spans="2:14" ht="19.5" customHeight="1"/>
    <row r="16" spans="2:14" ht="19.5" customHeight="1"/>
    <row r="17" spans="1:12" ht="19.5" customHeight="1"/>
    <row r="18" spans="1:12" ht="36" customHeight="1">
      <c r="B18" s="69" t="s">
        <v>11</v>
      </c>
      <c r="C18" s="70"/>
      <c r="D18" s="70"/>
      <c r="E18" s="70"/>
      <c r="F18" s="71"/>
      <c r="H18" s="72" t="s">
        <v>12</v>
      </c>
      <c r="I18" s="73"/>
      <c r="J18" s="73"/>
      <c r="K18" s="73" t="s">
        <v>13</v>
      </c>
      <c r="L18" s="76"/>
    </row>
    <row r="19" spans="1:12" ht="21" customHeight="1">
      <c r="A19" s="2"/>
      <c r="B19" s="47" t="s">
        <v>14</v>
      </c>
      <c r="C19" s="48"/>
      <c r="D19" s="16" t="s">
        <v>15</v>
      </c>
      <c r="E19" s="17" t="s">
        <v>16</v>
      </c>
      <c r="F19" s="22" t="s">
        <v>17</v>
      </c>
      <c r="H19" s="84" t="s">
        <v>18</v>
      </c>
      <c r="I19" s="85"/>
      <c r="J19" s="85"/>
      <c r="K19" s="77">
        <f>Aporte</f>
        <v>600</v>
      </c>
      <c r="L19" s="78"/>
    </row>
    <row r="20" spans="1:12" ht="19.5">
      <c r="A20" s="2"/>
      <c r="B20" s="49">
        <v>2</v>
      </c>
      <c r="C20" s="50"/>
      <c r="D20" s="10">
        <f>FV(taxa_mensal,$B20*12,Aporte*-1)</f>
        <v>16336.57637858713</v>
      </c>
      <c r="E20" s="14" cm="1">
        <f t="array" ref="E20">D20*Rendimento_carteira</f>
        <v>145.39552976942545</v>
      </c>
      <c r="F20" s="23">
        <f>$M$12*$B20*12</f>
        <v>14400</v>
      </c>
      <c r="H20" s="12"/>
      <c r="I20" s="5"/>
      <c r="J20" s="4"/>
      <c r="K20" s="4"/>
      <c r="L20" s="9"/>
    </row>
    <row r="21" spans="1:12" ht="21">
      <c r="A21" s="2"/>
      <c r="B21" s="49">
        <v>5</v>
      </c>
      <c r="C21" s="50"/>
      <c r="D21" s="10">
        <f>FV(taxa_mensal,$B21*12,Aporte*-1)</f>
        <v>50266.148399092584</v>
      </c>
      <c r="E21" s="14" cm="1">
        <f t="array" ref="E21">D21*Rendimento_carteira</f>
        <v>447.368720751924</v>
      </c>
      <c r="F21" s="23">
        <f>$M$12*$B21*12</f>
        <v>36000</v>
      </c>
      <c r="H21" s="33" t="s">
        <v>19</v>
      </c>
      <c r="I21" s="34"/>
      <c r="J21" s="13" t="s">
        <v>20</v>
      </c>
      <c r="K21" s="34" t="s">
        <v>21</v>
      </c>
      <c r="L21" s="79"/>
    </row>
    <row r="22" spans="1:12" ht="21">
      <c r="A22" s="2"/>
      <c r="B22" s="49">
        <v>10</v>
      </c>
      <c r="C22" s="50"/>
      <c r="D22" s="10">
        <f>FV(taxa_mensal,$B22*12,Aporte*-1)</f>
        <v>145970.52751810331</v>
      </c>
      <c r="E22" s="14" cm="1">
        <f t="array" ref="E22">D22*Rendimento_carteira</f>
        <v>1299.1376949111195</v>
      </c>
      <c r="F22" s="23">
        <f>$M$12*$B22*12</f>
        <v>72000</v>
      </c>
      <c r="H22" s="33" t="s">
        <v>22</v>
      </c>
      <c r="I22" s="34"/>
      <c r="J22" s="89">
        <f>VLOOKUP($K$18&amp;"-"&amp;$H22,Planilha1!$A:$D,4,FALSE)</f>
        <v>0.35</v>
      </c>
      <c r="K22" s="74">
        <f>J22*$K$19</f>
        <v>210</v>
      </c>
      <c r="L22" s="75"/>
    </row>
    <row r="23" spans="1:12" ht="21">
      <c r="A23" s="2"/>
      <c r="B23" s="49">
        <v>15</v>
      </c>
      <c r="C23" s="50"/>
      <c r="D23" s="10">
        <f>FV(taxa_mensal,$B23*12,Aporte*-1)</f>
        <v>328187.15788003255</v>
      </c>
      <c r="E23" s="14" cm="1">
        <f t="array" ref="E23">D23*Rendimento_carteira</f>
        <v>2920.8657051322898</v>
      </c>
      <c r="F23" s="23">
        <f>$M$12*$B23*12</f>
        <v>108000</v>
      </c>
      <c r="H23" s="33" t="s">
        <v>23</v>
      </c>
      <c r="I23" s="34"/>
      <c r="J23" s="89">
        <f>VLOOKUP($K$18&amp;"-"&amp;$H23,Planilha1!$A:$D,4,FALSE)</f>
        <v>0.5</v>
      </c>
      <c r="K23" s="74">
        <f>J23*$K$19</f>
        <v>300</v>
      </c>
      <c r="L23" s="75"/>
    </row>
    <row r="24" spans="1:12" ht="21">
      <c r="B24" s="49">
        <v>20</v>
      </c>
      <c r="C24" s="50"/>
      <c r="D24" s="10">
        <f>FV(taxa_mensal,$B24*12,Aporte*-1)</f>
        <v>675119.04005824833</v>
      </c>
      <c r="E24" s="14" cm="1">
        <f t="array" ref="E24">D24*Rendimento_carteira</f>
        <v>6008.5594565184101</v>
      </c>
      <c r="F24" s="23">
        <f>$M$12*$B24*12</f>
        <v>144000</v>
      </c>
      <c r="H24" s="33" t="s">
        <v>24</v>
      </c>
      <c r="I24" s="34"/>
      <c r="J24" s="89">
        <f>VLOOKUP($K$18&amp;"-"&amp;$H24,Planilha1!$A:$D,4,FALSE)</f>
        <v>7.4999999999999997E-2</v>
      </c>
      <c r="K24" s="74">
        <f>J24*$K$19</f>
        <v>45</v>
      </c>
      <c r="L24" s="75"/>
    </row>
    <row r="25" spans="1:12" ht="21">
      <c r="B25" s="49">
        <v>25</v>
      </c>
      <c r="C25" s="50"/>
      <c r="D25" s="10">
        <f>FV(taxa_mensal,$B25*12,Aporte*-1)</f>
        <v>1335661.0039429395</v>
      </c>
      <c r="E25" s="14" cm="1">
        <f t="array" ref="E25">D25*Rendimento_carteira</f>
        <v>11887.382935092161</v>
      </c>
      <c r="F25" s="23">
        <f>$M$12*$B25*12</f>
        <v>180000</v>
      </c>
      <c r="H25" s="33" t="s">
        <v>25</v>
      </c>
      <c r="I25" s="34"/>
      <c r="J25" s="89">
        <f>VLOOKUP($K$18&amp;"-"&amp;$H25,Planilha1!$A:$D,4,FALSE)</f>
        <v>7.4999999999999997E-2</v>
      </c>
      <c r="K25" s="74">
        <f>J25*$K$19</f>
        <v>45</v>
      </c>
      <c r="L25" s="75"/>
    </row>
    <row r="26" spans="1:12" ht="21">
      <c r="B26" s="49">
        <v>30</v>
      </c>
      <c r="C26" s="50"/>
      <c r="D26" s="10">
        <f>FV(taxa_mensal,$B26*12,Aporte*-1)</f>
        <v>2593301.7930028285</v>
      </c>
      <c r="E26" s="14" cm="1">
        <f t="array" ref="E26">D26*Rendimento_carteira</f>
        <v>23080.385957725175</v>
      </c>
      <c r="F26" s="23">
        <f>$M$12*$B26*12</f>
        <v>216000</v>
      </c>
      <c r="H26" s="33" t="s">
        <v>26</v>
      </c>
      <c r="I26" s="34"/>
      <c r="J26" s="89">
        <f>VLOOKUP($K$18&amp;"-"&amp;$H26,Planilha1!$A:$D,4,FALSE)</f>
        <v>0</v>
      </c>
      <c r="K26" s="74">
        <f>J26*$K$19</f>
        <v>0</v>
      </c>
      <c r="L26" s="75"/>
    </row>
    <row r="27" spans="1:12" ht="21">
      <c r="B27" s="82">
        <v>35</v>
      </c>
      <c r="C27" s="83"/>
      <c r="D27" s="11">
        <f>FV(taxa_mensal,$B27*12,Aporte*-1)</f>
        <v>4987790.6230619112</v>
      </c>
      <c r="E27" s="24" cm="1">
        <f t="array" ref="E27">D27*Rendimento_carteira</f>
        <v>44391.336545251012</v>
      </c>
      <c r="F27" s="25">
        <f>$M$12*$B27*12</f>
        <v>252000</v>
      </c>
      <c r="H27" s="33" t="s">
        <v>27</v>
      </c>
      <c r="I27" s="34"/>
      <c r="J27" s="89">
        <f>VLOOKUP($K$18&amp;"-"&amp;$H27,Planilha1!$A:$D,4,FALSE)</f>
        <v>0</v>
      </c>
      <c r="K27" s="74">
        <f>J27*$K$19</f>
        <v>0</v>
      </c>
      <c r="L27" s="75"/>
    </row>
    <row r="28" spans="1:12" ht="19.5">
      <c r="H28" s="80" t="s">
        <v>28</v>
      </c>
      <c r="I28" s="81"/>
      <c r="J28" s="81"/>
      <c r="K28" s="67">
        <f>SUM(K22:L27)</f>
        <v>600</v>
      </c>
      <c r="L28" s="68"/>
    </row>
  </sheetData>
  <sheetProtection sheet="1" objects="1" scenarios="1"/>
  <protectedRanges>
    <protectedRange sqref="E10:E12" name="Range1"/>
    <protectedRange sqref="I10:J11" name="Range2"/>
    <protectedRange sqref="K18:L18" name="Range3"/>
  </protectedRanges>
  <mergeCells count="47">
    <mergeCell ref="H24:I24"/>
    <mergeCell ref="H25:I25"/>
    <mergeCell ref="H26:I26"/>
    <mergeCell ref="H27:I27"/>
    <mergeCell ref="B23:C23"/>
    <mergeCell ref="B24:C24"/>
    <mergeCell ref="B25:C25"/>
    <mergeCell ref="B26:C26"/>
    <mergeCell ref="B27:C27"/>
    <mergeCell ref="K28:L28"/>
    <mergeCell ref="B18:F18"/>
    <mergeCell ref="H18:J18"/>
    <mergeCell ref="K23:L23"/>
    <mergeCell ref="K24:L24"/>
    <mergeCell ref="K25:L25"/>
    <mergeCell ref="K26:L26"/>
    <mergeCell ref="K27:L27"/>
    <mergeCell ref="K18:L18"/>
    <mergeCell ref="K19:L19"/>
    <mergeCell ref="K21:L21"/>
    <mergeCell ref="K22:L22"/>
    <mergeCell ref="H23:I23"/>
    <mergeCell ref="B21:C21"/>
    <mergeCell ref="B22:C22"/>
    <mergeCell ref="H28:J28"/>
    <mergeCell ref="B9:E9"/>
    <mergeCell ref="B10:D10"/>
    <mergeCell ref="G9:J9"/>
    <mergeCell ref="G12:H12"/>
    <mergeCell ref="G10:H10"/>
    <mergeCell ref="I12:J12"/>
    <mergeCell ref="I10:J10"/>
    <mergeCell ref="B11:D11"/>
    <mergeCell ref="G11:H11"/>
    <mergeCell ref="G13:H13"/>
    <mergeCell ref="M12:N12"/>
    <mergeCell ref="H22:I22"/>
    <mergeCell ref="B12:D12"/>
    <mergeCell ref="I11:J11"/>
    <mergeCell ref="I13:J13"/>
    <mergeCell ref="I14:J14"/>
    <mergeCell ref="G14:H14"/>
    <mergeCell ref="H21:I21"/>
    <mergeCell ref="B13:D13"/>
    <mergeCell ref="B19:C19"/>
    <mergeCell ref="B20:C20"/>
    <mergeCell ref="H19:J19"/>
  </mergeCells>
  <dataValidations count="2">
    <dataValidation type="list" allowBlank="1" showInputMessage="1" showErrorMessage="1" sqref="K18:L18" xr:uid="{7171FD67-8B76-4673-A689-7803311BDA1F}">
      <formula1>"Conservador,Moderado,Agressivo"</formula1>
    </dataValidation>
    <dataValidation type="list" allowBlank="1" showInputMessage="1" showErrorMessage="1" sqref="E12" xr:uid="{95A3BC76-3E90-4BE8-A0C6-1DC34B9874D0}">
      <formula1>"5%,10%,15%,20%,25%, 30%"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F2756-AFB0-4704-A402-24E17D15CC54}">
  <dimension ref="A3:I22"/>
  <sheetViews>
    <sheetView topLeftCell="A12" workbookViewId="0">
      <selection activeCell="F21" sqref="F21"/>
    </sheetView>
  </sheetViews>
  <sheetFormatPr defaultRowHeight="15"/>
  <cols>
    <col min="1" max="1" width="26.5703125" customWidth="1"/>
    <col min="2" max="2" width="22.140625" bestFit="1" customWidth="1"/>
    <col min="3" max="3" width="26.140625" customWidth="1"/>
    <col min="4" max="4" width="14.85546875" bestFit="1" customWidth="1"/>
    <col min="7" max="7" width="20.7109375" customWidth="1"/>
    <col min="8" max="8" width="10.85546875" customWidth="1"/>
    <col min="9" max="9" width="16.140625" customWidth="1"/>
  </cols>
  <sheetData>
    <row r="3" spans="1:9" ht="21">
      <c r="A3" t="s">
        <v>29</v>
      </c>
      <c r="B3" s="3" t="s">
        <v>30</v>
      </c>
      <c r="C3" s="13" t="s">
        <v>19</v>
      </c>
      <c r="D3" s="13" t="s">
        <v>20</v>
      </c>
      <c r="F3" t="s">
        <v>31</v>
      </c>
      <c r="G3" t="s">
        <v>15</v>
      </c>
      <c r="H3" t="s">
        <v>17</v>
      </c>
      <c r="I3" s="3" t="s">
        <v>32</v>
      </c>
    </row>
    <row r="4" spans="1:9" ht="21">
      <c r="A4" t="str">
        <f>B4&amp;"-"&amp;C4</f>
        <v>Conservador-Papel</v>
      </c>
      <c r="B4" s="3" t="s">
        <v>13</v>
      </c>
      <c r="C4" s="13" t="s">
        <v>22</v>
      </c>
      <c r="D4" s="86">
        <v>0.35</v>
      </c>
      <c r="F4" s="3">
        <v>2</v>
      </c>
      <c r="G4">
        <f>'simulador '!D20</f>
        <v>16336.57637858713</v>
      </c>
      <c r="H4">
        <f>'simulador '!F20</f>
        <v>14400</v>
      </c>
      <c r="I4" s="26">
        <f>G4/H4</f>
        <v>1.1344844707352173</v>
      </c>
    </row>
    <row r="5" spans="1:9" ht="21">
      <c r="A5" t="str">
        <f t="shared" ref="A5:A22" si="0">B5&amp;"-"&amp;C5</f>
        <v>Conservador-Tijolo</v>
      </c>
      <c r="B5" s="3" t="s">
        <v>13</v>
      </c>
      <c r="C5" s="13" t="s">
        <v>23</v>
      </c>
      <c r="D5" s="86">
        <v>0.5</v>
      </c>
      <c r="F5" s="3">
        <v>5</v>
      </c>
      <c r="G5">
        <f>'simulador '!D21</f>
        <v>50266.148399092584</v>
      </c>
      <c r="H5">
        <f>'simulador '!F21</f>
        <v>36000</v>
      </c>
      <c r="I5" s="26">
        <f>G5/H5</f>
        <v>1.3962818999747939</v>
      </c>
    </row>
    <row r="6" spans="1:9" ht="21">
      <c r="A6" t="str">
        <f t="shared" si="0"/>
        <v>Conservador-híbridos</v>
      </c>
      <c r="B6" s="3" t="s">
        <v>13</v>
      </c>
      <c r="C6" s="13" t="s">
        <v>24</v>
      </c>
      <c r="D6" s="86">
        <v>7.4999999999999997E-2</v>
      </c>
      <c r="F6" s="3">
        <v>10</v>
      </c>
      <c r="G6">
        <f>'simulador '!D22</f>
        <v>145970.52751810331</v>
      </c>
      <c r="H6">
        <f>'simulador '!F22</f>
        <v>72000</v>
      </c>
      <c r="I6" s="26">
        <f t="shared" ref="I5:I11" si="1">G6/H6</f>
        <v>2.0273684377514347</v>
      </c>
    </row>
    <row r="7" spans="1:9" ht="21">
      <c r="A7" t="str">
        <f t="shared" si="0"/>
        <v>Conservador-FOFs</v>
      </c>
      <c r="B7" s="3" t="s">
        <v>13</v>
      </c>
      <c r="C7" s="13" t="s">
        <v>25</v>
      </c>
      <c r="D7" s="86">
        <v>7.4999999999999997E-2</v>
      </c>
      <c r="F7" s="3">
        <v>15</v>
      </c>
      <c r="G7">
        <f>'simulador '!D23</f>
        <v>328187.15788003255</v>
      </c>
      <c r="H7">
        <f>'simulador '!F23</f>
        <v>108000</v>
      </c>
      <c r="I7" s="26">
        <f t="shared" si="1"/>
        <v>3.0387699803706716</v>
      </c>
    </row>
    <row r="8" spans="1:9" ht="21">
      <c r="A8" t="str">
        <f t="shared" si="0"/>
        <v>Conservador-Desenvolvimento</v>
      </c>
      <c r="B8" s="3" t="s">
        <v>13</v>
      </c>
      <c r="C8" s="13" t="s">
        <v>26</v>
      </c>
      <c r="D8" s="86">
        <v>0</v>
      </c>
      <c r="F8" s="3">
        <v>20</v>
      </c>
      <c r="G8">
        <f>'simulador '!D24</f>
        <v>675119.04005824833</v>
      </c>
      <c r="H8">
        <f>'simulador '!F24</f>
        <v>144000</v>
      </c>
      <c r="I8" s="26">
        <f>G8/H8</f>
        <v>4.688326667071169</v>
      </c>
    </row>
    <row r="9" spans="1:9" ht="21">
      <c r="A9" s="6" t="str">
        <f t="shared" si="0"/>
        <v>Conservador-Fiagro</v>
      </c>
      <c r="B9" s="7" t="s">
        <v>13</v>
      </c>
      <c r="C9" s="8" t="s">
        <v>27</v>
      </c>
      <c r="D9" s="87">
        <v>0</v>
      </c>
      <c r="F9" s="3">
        <v>25</v>
      </c>
      <c r="G9">
        <f>'simulador '!D25</f>
        <v>1335661.0039429395</v>
      </c>
      <c r="H9">
        <f>'simulador '!F25</f>
        <v>180000</v>
      </c>
      <c r="I9" s="26">
        <f t="shared" si="1"/>
        <v>7.4203389107941078</v>
      </c>
    </row>
    <row r="10" spans="1:9" ht="21">
      <c r="A10" t="str">
        <f t="shared" si="0"/>
        <v>Moderado-Papel</v>
      </c>
      <c r="B10" s="3" t="s">
        <v>33</v>
      </c>
      <c r="C10" s="13" t="s">
        <v>22</v>
      </c>
      <c r="D10" s="88">
        <v>0.3</v>
      </c>
      <c r="F10" s="3">
        <v>30</v>
      </c>
      <c r="G10">
        <f>'simulador '!D26</f>
        <v>2593301.7930028285</v>
      </c>
      <c r="H10">
        <f>'simulador '!F26</f>
        <v>216000</v>
      </c>
      <c r="I10" s="26">
        <f t="shared" si="1"/>
        <v>12.006026819457539</v>
      </c>
    </row>
    <row r="11" spans="1:9" ht="21">
      <c r="A11" t="str">
        <f t="shared" si="0"/>
        <v>Moderado-Tijolo</v>
      </c>
      <c r="B11" s="3" t="s">
        <v>33</v>
      </c>
      <c r="C11" s="13" t="s">
        <v>23</v>
      </c>
      <c r="D11" s="88">
        <v>0.3</v>
      </c>
      <c r="F11" s="3">
        <v>35</v>
      </c>
      <c r="G11">
        <f>'simulador '!D27</f>
        <v>4987790.6230619112</v>
      </c>
      <c r="H11">
        <f>'simulador '!F27</f>
        <v>252000</v>
      </c>
      <c r="I11" s="26">
        <f>G11/H11</f>
        <v>19.792819932785363</v>
      </c>
    </row>
    <row r="12" spans="1:9" ht="21">
      <c r="A12" t="str">
        <f t="shared" si="0"/>
        <v>Moderado-híbridos</v>
      </c>
      <c r="B12" s="3" t="s">
        <v>33</v>
      </c>
      <c r="C12" s="13" t="s">
        <v>24</v>
      </c>
      <c r="D12" s="88">
        <v>0.1</v>
      </c>
    </row>
    <row r="13" spans="1:9" ht="21">
      <c r="A13" t="str">
        <f t="shared" si="0"/>
        <v>Moderado-FOFs</v>
      </c>
      <c r="B13" s="3" t="s">
        <v>33</v>
      </c>
      <c r="C13" s="13" t="s">
        <v>25</v>
      </c>
      <c r="D13" s="88">
        <v>0.1</v>
      </c>
    </row>
    <row r="14" spans="1:9" ht="21">
      <c r="A14" t="str">
        <f t="shared" si="0"/>
        <v>Moderado-Desenvolvimento</v>
      </c>
      <c r="B14" s="3" t="s">
        <v>33</v>
      </c>
      <c r="C14" s="13" t="s">
        <v>26</v>
      </c>
      <c r="D14" s="88">
        <v>0.1</v>
      </c>
    </row>
    <row r="15" spans="1:9" ht="21">
      <c r="A15" s="6" t="str">
        <f t="shared" si="0"/>
        <v>Moderado-Fiagro</v>
      </c>
      <c r="B15" s="7" t="s">
        <v>33</v>
      </c>
      <c r="C15" s="8" t="s">
        <v>27</v>
      </c>
      <c r="D15" s="87">
        <v>0.1</v>
      </c>
    </row>
    <row r="16" spans="1:9" ht="21">
      <c r="A16" t="str">
        <f t="shared" si="0"/>
        <v>Agressivo-Papel</v>
      </c>
      <c r="B16" s="3" t="s">
        <v>34</v>
      </c>
      <c r="C16" s="13" t="s">
        <v>22</v>
      </c>
      <c r="D16" s="88">
        <v>0.2</v>
      </c>
    </row>
    <row r="17" spans="1:4" ht="21">
      <c r="A17" t="str">
        <f t="shared" si="0"/>
        <v>Agressivo-Tijolo</v>
      </c>
      <c r="B17" s="3" t="s">
        <v>34</v>
      </c>
      <c r="C17" s="13" t="s">
        <v>23</v>
      </c>
      <c r="D17" s="88">
        <v>0.2</v>
      </c>
    </row>
    <row r="18" spans="1:4" ht="21">
      <c r="A18" t="str">
        <f t="shared" si="0"/>
        <v>Agressivo-híbridos</v>
      </c>
      <c r="B18" s="3" t="s">
        <v>34</v>
      </c>
      <c r="C18" s="13" t="s">
        <v>24</v>
      </c>
      <c r="D18" s="88">
        <v>0.1</v>
      </c>
    </row>
    <row r="19" spans="1:4" ht="21">
      <c r="A19" t="str">
        <f t="shared" si="0"/>
        <v>Agressivo-FOFs</v>
      </c>
      <c r="B19" s="3" t="s">
        <v>34</v>
      </c>
      <c r="C19" s="13" t="s">
        <v>25</v>
      </c>
      <c r="D19" s="88">
        <v>0.1</v>
      </c>
    </row>
    <row r="20" spans="1:4" ht="21">
      <c r="A20" t="str">
        <f t="shared" si="0"/>
        <v>Agressivo-Desenvolvimento</v>
      </c>
      <c r="B20" s="3" t="s">
        <v>34</v>
      </c>
      <c r="C20" s="13" t="s">
        <v>26</v>
      </c>
      <c r="D20" s="88">
        <v>0.25</v>
      </c>
    </row>
    <row r="21" spans="1:4" ht="21">
      <c r="A21" s="6" t="str">
        <f t="shared" si="0"/>
        <v>Agressivo-Fiagro</v>
      </c>
      <c r="B21" s="7" t="s">
        <v>34</v>
      </c>
      <c r="C21" s="8" t="s">
        <v>27</v>
      </c>
      <c r="D21" s="87">
        <v>0.15</v>
      </c>
    </row>
    <row r="22" spans="1:4">
      <c r="A22" t="str">
        <f t="shared" si="0"/>
        <v>-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Mauro Marabesi</cp:lastModifiedBy>
  <cp:revision/>
  <dcterms:created xsi:type="dcterms:W3CDTF">2025-12-18T15:14:42Z</dcterms:created>
  <dcterms:modified xsi:type="dcterms:W3CDTF">2025-12-20T19:11:38Z</dcterms:modified>
  <cp:category/>
  <cp:contentStatus/>
</cp:coreProperties>
</file>